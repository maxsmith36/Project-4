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xsmith/Downloads/"/>
    </mc:Choice>
  </mc:AlternateContent>
  <xr:revisionPtr revIDLastSave="0" documentId="8_{C40BB7C2-5FED-D44F-8034-3FA41FB1BF4D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Gantt Template" sheetId="1" r:id="rId1"/>
    <sheet name="Instructions" sheetId="2" r:id="rId2"/>
  </sheets>
  <definedNames>
    <definedName name="_xlnm.Print_Titles" localSheetId="0">'Gantt Template'!$1:$9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0" i="1"/>
  <c r="G19" i="1"/>
  <c r="G18" i="1"/>
  <c r="G17" i="1"/>
  <c r="G16" i="1"/>
  <c r="G15" i="1"/>
  <c r="G14" i="1"/>
  <c r="G13" i="1"/>
  <c r="G12" i="1"/>
  <c r="G11" i="1"/>
  <c r="G10" i="1"/>
  <c r="T9" i="1"/>
  <c r="Q9" i="1"/>
  <c r="P9" i="1"/>
  <c r="AB8" i="1"/>
  <c r="AB9" i="1" s="1"/>
  <c r="AA8" i="1"/>
  <c r="AA9" i="1" s="1"/>
  <c r="Z8" i="1"/>
  <c r="Z9" i="1" s="1"/>
  <c r="Y8" i="1"/>
  <c r="Y9" i="1" s="1"/>
  <c r="X8" i="1"/>
  <c r="X9" i="1" s="1"/>
  <c r="W8" i="1"/>
  <c r="W9" i="1" s="1"/>
  <c r="V8" i="1"/>
  <c r="V9" i="1" s="1"/>
  <c r="U8" i="1"/>
  <c r="U9" i="1" s="1"/>
  <c r="T8" i="1"/>
  <c r="S8" i="1"/>
  <c r="S9" i="1" s="1"/>
  <c r="R8" i="1"/>
  <c r="R9" i="1" s="1"/>
  <c r="Q8" i="1"/>
  <c r="P8" i="1"/>
  <c r="O8" i="1"/>
  <c r="O9" i="1" s="1"/>
  <c r="N8" i="1"/>
  <c r="N9" i="1" s="1"/>
  <c r="M8" i="1"/>
  <c r="M9" i="1" s="1"/>
  <c r="L8" i="1"/>
  <c r="L9" i="1" s="1"/>
  <c r="K8" i="1"/>
  <c r="K9" i="1" s="1"/>
  <c r="J8" i="1"/>
  <c r="J9" i="1" s="1"/>
  <c r="I8" i="1"/>
  <c r="I9" i="1" s="1"/>
  <c r="H8" i="1"/>
  <c r="H9" i="1" s="1"/>
</calcChain>
</file>

<file path=xl/sharedStrings.xml><?xml version="1.0" encoding="utf-8"?>
<sst xmlns="http://schemas.openxmlformats.org/spreadsheetml/2006/main" count="88" uniqueCount="70">
  <si>
    <t>CIVE 202 – Civil Engineering Analysis II</t>
  </si>
  <si>
    <t>Project #4 – Gantt Chart Template</t>
  </si>
  <si>
    <t>Group Members</t>
  </si>
  <si>
    <t>Legend</t>
  </si>
  <si>
    <t>Project Start Date</t>
  </si>
  <si>
    <t>Fill dates and task owners.</t>
  </si>
  <si>
    <t>Project Due Date</t>
  </si>
  <si>
    <t>Blue cells = scheduled work</t>
  </si>
  <si>
    <t>States Analyzed</t>
  </si>
  <si>
    <t>Orange row = milestone / deliverable</t>
  </si>
  <si>
    <t>Notes</t>
  </si>
  <si>
    <t>Adjust tasks/dates as needed to match your scope of work</t>
  </si>
  <si>
    <t>Task ID</t>
  </si>
  <si>
    <t>Major Task / Deliverable</t>
  </si>
  <si>
    <t>Owner(s)</t>
  </si>
  <si>
    <t>Predecessor</t>
  </si>
  <si>
    <t>Start Date</t>
  </si>
  <si>
    <t>End Date</t>
  </si>
  <si>
    <t>Duration</t>
  </si>
  <si>
    <t>1</t>
  </si>
  <si>
    <t>Download NRI data for State 1 and State 2</t>
  </si>
  <si>
    <t>2</t>
  </si>
  <si>
    <t>Download metadata files and review variables</t>
  </si>
  <si>
    <t>3</t>
  </si>
  <si>
    <t>Download SVI dataset / external source</t>
  </si>
  <si>
    <t>4</t>
  </si>
  <si>
    <t>Clean and organize tract-level datasets</t>
  </si>
  <si>
    <t>1,2,3</t>
  </si>
  <si>
    <t>5</t>
  </si>
  <si>
    <t>Join datasets and handle missing / NA values</t>
  </si>
  <si>
    <t>6</t>
  </si>
  <si>
    <t>Define alternative risk method</t>
  </si>
  <si>
    <t>4,5</t>
  </si>
  <si>
    <t>7</t>
  </si>
  <si>
    <t>Write Python code and test calculations</t>
  </si>
  <si>
    <t>5,6</t>
  </si>
  <si>
    <t>8</t>
  </si>
  <si>
    <t>Create tables / figures comparing NRI vs. new method</t>
  </si>
  <si>
    <t>9</t>
  </si>
  <si>
    <t>Generate GeoPandas map</t>
  </si>
  <si>
    <t>7,8</t>
  </si>
  <si>
    <t>10</t>
  </si>
  <si>
    <t>Write Scope of Work</t>
  </si>
  <si>
    <t>11</t>
  </si>
  <si>
    <t>Write annotated code document</t>
  </si>
  <si>
    <t>12</t>
  </si>
  <si>
    <t>Complete report / interpretation write-up</t>
  </si>
  <si>
    <t>8,9,11</t>
  </si>
  <si>
    <t>13</t>
  </si>
  <si>
    <t>Finalize GitHub repository and submission files</t>
  </si>
  <si>
    <t>10,11,12</t>
  </si>
  <si>
    <t>How to Use This Gantt Chart Template</t>
  </si>
  <si>
    <t>1. Fill in group member names, project start date, due date, and states on the Gantt Template sheet.</t>
  </si>
  <si>
    <t>2. Enter each task owner, start date, and end date. The duration column calculates automatically.</t>
  </si>
  <si>
    <t>3. Blue bars appear automatically when the task dates line up with the project calendar.</t>
  </si>
  <si>
    <t>4. Change, delete, or add tasks so the chart matches your actual scope of work.</t>
  </si>
  <si>
    <t>5. Use this chart to show major project tasks, durations, dependencies, and a clear start/end timeline.</t>
  </si>
  <si>
    <t>6. Keep the chart consistent with your Scope of Work and final project submission.</t>
  </si>
  <si>
    <t>Suggested major tasks from the project prompt:</t>
  </si>
  <si>
    <t>• Download NRI data for two states</t>
  </si>
  <si>
    <t>• Review metadata and variable definitions</t>
  </si>
  <si>
    <t>• Download SVI dataset / outside sources</t>
  </si>
  <si>
    <t>• Clean, organize, and merge datasets</t>
  </si>
  <si>
    <t>• Handle missing values</t>
  </si>
  <si>
    <t>• Build and test alternative risk method</t>
  </si>
  <si>
    <t>• Create figures / summary tables</t>
  </si>
  <si>
    <t>• Generate at least one GeoPandas map</t>
  </si>
  <si>
    <t>• Prepare Scope of Work, ACD, report, GitHub repo, and final submission files</t>
  </si>
  <si>
    <t>Max Smith</t>
  </si>
  <si>
    <t>Colorado and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</si>
</sst>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yy"/>
    <numFmt numFmtId="166" formatCode="m/d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9E1F2"/>
      </patternFill>
    </fill>
    <fill>
      <patternFill patternType="solid">
        <fgColor rgb="FFF3F6FA"/>
      </patternFill>
    </fill>
    <fill>
      <patternFill patternType="solid">
        <fgColor rgb="FF4F81BD"/>
      </patternFill>
    </fill>
    <fill>
      <patternFill patternType="solid">
        <fgColor rgb="FFFCE4D6"/>
      </patternFill>
    </fill>
    <fill>
      <patternFill patternType="solid">
        <fgColor rgb="FFDCE6F1"/>
      </patternFill>
    </fill>
    <fill>
      <patternFill patternType="solid">
        <fgColor rgb="FFFBFCFE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/>
    <xf numFmtId="0" fontId="2" fillId="0" borderId="0" xfId="0" applyFont="1"/>
    <xf numFmtId="0" fontId="3" fillId="5" borderId="0" xfId="0" applyFont="1" applyFill="1"/>
    <xf numFmtId="0" fontId="2" fillId="6" borderId="0" xfId="0" applyFont="1" applyFill="1"/>
    <xf numFmtId="166" fontId="3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4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vertical="top" wrapText="1"/>
    </xf>
    <xf numFmtId="165" fontId="0" fillId="8" borderId="1" xfId="0" applyNumberFormat="1" applyFill="1" applyBorder="1" applyAlignment="1">
      <alignment vertical="top" wrapText="1"/>
    </xf>
    <xf numFmtId="1" fontId="0" fillId="8" borderId="1" xfId="0" applyNumberFormat="1" applyFill="1" applyBorder="1" applyAlignment="1">
      <alignment vertical="top" wrapText="1"/>
    </xf>
    <xf numFmtId="0" fontId="0" fillId="8" borderId="1" xfId="0" applyFill="1" applyBorder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165" fontId="0" fillId="4" borderId="0" xfId="0" applyNumberFormat="1" applyFill="1"/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9" borderId="1" xfId="0" applyFill="1" applyBorder="1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4F81B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showGridLines="0" tabSelected="1" zoomScale="112" workbookViewId="0">
      <pane ySplit="7" topLeftCell="A8" activePane="bottomLeft" state="frozen"/>
      <selection pane="bottomLeft" activeCell="B6" sqref="B6:F6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18" customWidth="1"/>
    <col min="4" max="4" width="14" customWidth="1"/>
    <col min="5" max="6" width="12" customWidth="1"/>
    <col min="7" max="7" width="10" customWidth="1"/>
    <col min="8" max="28" width="5.5" customWidth="1"/>
  </cols>
  <sheetData>
    <row r="1" spans="1:28" ht="22" customHeight="1" x14ac:dyDescent="0.25">
      <c r="A1" s="19" t="s">
        <v>0</v>
      </c>
      <c r="B1" s="17"/>
      <c r="C1" s="17"/>
      <c r="D1" s="17"/>
      <c r="E1" s="17"/>
      <c r="F1" s="17"/>
      <c r="G1" s="17"/>
      <c r="H1" s="19" t="s">
        <v>1</v>
      </c>
      <c r="I1" s="17"/>
      <c r="J1" s="17"/>
      <c r="K1" s="17"/>
      <c r="L1" s="17"/>
      <c r="M1" s="17"/>
      <c r="N1" s="17"/>
    </row>
    <row r="2" spans="1:28" ht="22" customHeight="1" x14ac:dyDescent="0.2"/>
    <row r="3" spans="1:28" ht="22" customHeight="1" x14ac:dyDescent="0.2">
      <c r="A3" s="1" t="s">
        <v>2</v>
      </c>
      <c r="B3" s="18" t="s">
        <v>68</v>
      </c>
      <c r="C3" s="17"/>
      <c r="D3" s="17"/>
      <c r="E3" s="17"/>
      <c r="F3" s="17"/>
      <c r="H3" s="2" t="s">
        <v>3</v>
      </c>
    </row>
    <row r="4" spans="1:28" ht="22" customHeight="1" x14ac:dyDescent="0.2">
      <c r="A4" s="1" t="s">
        <v>4</v>
      </c>
      <c r="B4" s="16">
        <v>46113</v>
      </c>
      <c r="C4" s="17"/>
      <c r="D4" s="17"/>
      <c r="E4" s="17"/>
      <c r="F4" s="17"/>
      <c r="H4" t="s">
        <v>5</v>
      </c>
    </row>
    <row r="5" spans="1:28" ht="22" customHeight="1" x14ac:dyDescent="0.2">
      <c r="A5" s="1" t="s">
        <v>6</v>
      </c>
      <c r="B5" s="16">
        <v>46133</v>
      </c>
      <c r="C5" s="17"/>
      <c r="D5" s="17"/>
      <c r="E5" s="17"/>
      <c r="F5" s="17"/>
      <c r="H5" s="3" t="s">
        <v>7</v>
      </c>
    </row>
    <row r="6" spans="1:28" ht="22" customHeight="1" x14ac:dyDescent="0.2">
      <c r="A6" s="1" t="s">
        <v>8</v>
      </c>
      <c r="B6" s="18" t="s">
        <v>69</v>
      </c>
      <c r="C6" s="17"/>
      <c r="D6" s="17"/>
      <c r="E6" s="17"/>
      <c r="F6" s="17"/>
      <c r="H6" s="4" t="s">
        <v>9</v>
      </c>
    </row>
    <row r="7" spans="1:28" ht="22" customHeight="1" x14ac:dyDescent="0.2">
      <c r="A7" s="1" t="s">
        <v>10</v>
      </c>
      <c r="B7" s="18" t="s">
        <v>11</v>
      </c>
      <c r="C7" s="17"/>
      <c r="D7" s="17"/>
      <c r="E7" s="17"/>
      <c r="F7" s="17"/>
    </row>
    <row r="8" spans="1:28" ht="22" customHeight="1" x14ac:dyDescent="0.2">
      <c r="A8" s="20" t="s">
        <v>12</v>
      </c>
      <c r="B8" s="20" t="s">
        <v>13</v>
      </c>
      <c r="C8" s="20" t="s">
        <v>14</v>
      </c>
      <c r="D8" s="20" t="s">
        <v>15</v>
      </c>
      <c r="E8" s="20" t="s">
        <v>16</v>
      </c>
      <c r="F8" s="20" t="s">
        <v>17</v>
      </c>
      <c r="G8" s="20" t="s">
        <v>18</v>
      </c>
      <c r="H8" s="5">
        <f>$B$4+0</f>
        <v>46113</v>
      </c>
      <c r="I8" s="5">
        <f>$B$4+1</f>
        <v>46114</v>
      </c>
      <c r="J8" s="5">
        <f>$B$4+2</f>
        <v>46115</v>
      </c>
      <c r="K8" s="5">
        <f>$B$4+3</f>
        <v>46116</v>
      </c>
      <c r="L8" s="5">
        <f>$B$4+4</f>
        <v>46117</v>
      </c>
      <c r="M8" s="5">
        <f>$B$4+5</f>
        <v>46118</v>
      </c>
      <c r="N8" s="5">
        <f>$B$4+6</f>
        <v>46119</v>
      </c>
      <c r="O8" s="5">
        <f>$B$4+7</f>
        <v>46120</v>
      </c>
      <c r="P8" s="5">
        <f>$B$4+8</f>
        <v>46121</v>
      </c>
      <c r="Q8" s="5">
        <f>$B$4+9</f>
        <v>46122</v>
      </c>
      <c r="R8" s="5">
        <f>$B$4+10</f>
        <v>46123</v>
      </c>
      <c r="S8" s="5">
        <f>$B$4+11</f>
        <v>46124</v>
      </c>
      <c r="T8" s="5">
        <f>$B$4+12</f>
        <v>46125</v>
      </c>
      <c r="U8" s="5">
        <f>$B$4+13</f>
        <v>46126</v>
      </c>
      <c r="V8" s="5">
        <f>$B$4+14</f>
        <v>46127</v>
      </c>
      <c r="W8" s="5">
        <f>$B$4+15</f>
        <v>46128</v>
      </c>
      <c r="X8" s="5">
        <f>$B$4+16</f>
        <v>46129</v>
      </c>
      <c r="Y8" s="5">
        <f>$B$4+17</f>
        <v>46130</v>
      </c>
      <c r="Z8" s="5">
        <f>$B$4+18</f>
        <v>46131</v>
      </c>
      <c r="AA8" s="5">
        <f>$B$4+19</f>
        <v>46132</v>
      </c>
      <c r="AB8" s="5">
        <f>$B$4+20</f>
        <v>46133</v>
      </c>
    </row>
    <row r="9" spans="1:28" ht="22" customHeight="1" x14ac:dyDescent="0.2">
      <c r="A9" s="21"/>
      <c r="B9" s="21"/>
      <c r="C9" s="21"/>
      <c r="D9" s="21"/>
      <c r="E9" s="21"/>
      <c r="F9" s="21"/>
      <c r="G9" s="21"/>
      <c r="H9" s="7" t="str">
        <f t="shared" ref="H9:AB9" si="0">TEXT(H8,"ddd")</f>
        <v>Wed</v>
      </c>
      <c r="I9" s="7" t="str">
        <f t="shared" si="0"/>
        <v>Thu</v>
      </c>
      <c r="J9" s="7" t="str">
        <f t="shared" si="0"/>
        <v>Fri</v>
      </c>
      <c r="K9" s="7" t="str">
        <f t="shared" si="0"/>
        <v>Sat</v>
      </c>
      <c r="L9" s="7" t="str">
        <f t="shared" si="0"/>
        <v>Sun</v>
      </c>
      <c r="M9" s="7" t="str">
        <f t="shared" si="0"/>
        <v>Mon</v>
      </c>
      <c r="N9" s="7" t="str">
        <f t="shared" si="0"/>
        <v>Tue</v>
      </c>
      <c r="O9" s="7" t="str">
        <f t="shared" si="0"/>
        <v>Wed</v>
      </c>
      <c r="P9" s="7" t="str">
        <f t="shared" si="0"/>
        <v>Thu</v>
      </c>
      <c r="Q9" s="7" t="str">
        <f t="shared" si="0"/>
        <v>Fri</v>
      </c>
      <c r="R9" s="7" t="str">
        <f t="shared" si="0"/>
        <v>Sat</v>
      </c>
      <c r="S9" s="7" t="str">
        <f t="shared" si="0"/>
        <v>Sun</v>
      </c>
      <c r="T9" s="7" t="str">
        <f t="shared" si="0"/>
        <v>Mon</v>
      </c>
      <c r="U9" s="7" t="str">
        <f t="shared" si="0"/>
        <v>Tue</v>
      </c>
      <c r="V9" s="7" t="str">
        <f t="shared" si="0"/>
        <v>Wed</v>
      </c>
      <c r="W9" s="7" t="str">
        <f t="shared" si="0"/>
        <v>Thu</v>
      </c>
      <c r="X9" s="7" t="str">
        <f t="shared" si="0"/>
        <v>Fri</v>
      </c>
      <c r="Y9" s="7" t="str">
        <f t="shared" si="0"/>
        <v>Sat</v>
      </c>
      <c r="Z9" s="7" t="str">
        <f t="shared" si="0"/>
        <v>Sun</v>
      </c>
      <c r="AA9" s="7" t="str">
        <f t="shared" si="0"/>
        <v>Mon</v>
      </c>
      <c r="AB9" s="7" t="str">
        <f t="shared" si="0"/>
        <v>Tue</v>
      </c>
    </row>
    <row r="10" spans="1:28" ht="26" customHeight="1" x14ac:dyDescent="0.2">
      <c r="A10" s="8" t="s">
        <v>19</v>
      </c>
      <c r="B10" s="8" t="s">
        <v>20</v>
      </c>
      <c r="C10" s="8" t="s">
        <v>68</v>
      </c>
      <c r="D10" s="8"/>
      <c r="E10" s="9">
        <v>46132</v>
      </c>
      <c r="F10" s="9">
        <v>46132</v>
      </c>
      <c r="G10" s="10">
        <f t="shared" ref="G10:G22" si="1">IF(OR(E10="",F10=""),"",F10-E10+1)</f>
        <v>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22"/>
      <c r="AB10" s="11"/>
    </row>
    <row r="11" spans="1:28" ht="26" customHeight="1" x14ac:dyDescent="0.2">
      <c r="A11" s="12" t="s">
        <v>21</v>
      </c>
      <c r="B11" s="12" t="s">
        <v>22</v>
      </c>
      <c r="C11" s="8" t="s">
        <v>68</v>
      </c>
      <c r="D11" s="12" t="s">
        <v>19</v>
      </c>
      <c r="E11" s="9">
        <v>46132</v>
      </c>
      <c r="F11" s="9">
        <v>46132</v>
      </c>
      <c r="G11" s="13">
        <f t="shared" si="1"/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22"/>
      <c r="AB11" s="6"/>
    </row>
    <row r="12" spans="1:28" ht="26" customHeight="1" x14ac:dyDescent="0.2">
      <c r="A12" s="8" t="s">
        <v>23</v>
      </c>
      <c r="B12" s="8" t="s">
        <v>24</v>
      </c>
      <c r="C12" s="8" t="s">
        <v>68</v>
      </c>
      <c r="D12" s="8" t="s">
        <v>19</v>
      </c>
      <c r="E12" s="9">
        <v>46132</v>
      </c>
      <c r="F12" s="9">
        <v>46132</v>
      </c>
      <c r="G12" s="10">
        <f t="shared" si="1"/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2"/>
      <c r="AB12" s="11"/>
    </row>
    <row r="13" spans="1:28" ht="26" customHeight="1" x14ac:dyDescent="0.2">
      <c r="A13" s="12" t="s">
        <v>25</v>
      </c>
      <c r="B13" s="12" t="s">
        <v>26</v>
      </c>
      <c r="C13" s="8" t="s">
        <v>68</v>
      </c>
      <c r="D13" s="12" t="s">
        <v>27</v>
      </c>
      <c r="E13" s="9">
        <v>46132</v>
      </c>
      <c r="F13" s="9">
        <v>46132</v>
      </c>
      <c r="G13" s="13">
        <f t="shared" si="1"/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22"/>
      <c r="AB13" s="6"/>
    </row>
    <row r="14" spans="1:28" ht="26" customHeight="1" x14ac:dyDescent="0.2">
      <c r="A14" s="8" t="s">
        <v>28</v>
      </c>
      <c r="B14" s="8" t="s">
        <v>29</v>
      </c>
      <c r="C14" s="8" t="s">
        <v>68</v>
      </c>
      <c r="D14" s="8" t="s">
        <v>25</v>
      </c>
      <c r="E14" s="9">
        <v>46132</v>
      </c>
      <c r="F14" s="9">
        <v>46132</v>
      </c>
      <c r="G14" s="10">
        <f t="shared" si="1"/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22"/>
      <c r="AB14" s="11"/>
    </row>
    <row r="15" spans="1:28" ht="26" customHeight="1" x14ac:dyDescent="0.2">
      <c r="A15" s="12" t="s">
        <v>30</v>
      </c>
      <c r="B15" s="12" t="s">
        <v>31</v>
      </c>
      <c r="C15" s="8" t="s">
        <v>68</v>
      </c>
      <c r="D15" s="12" t="s">
        <v>32</v>
      </c>
      <c r="E15" s="9">
        <v>46132</v>
      </c>
      <c r="F15" s="9">
        <v>46132</v>
      </c>
      <c r="G15" s="13">
        <f t="shared" si="1"/>
        <v>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22"/>
      <c r="AB15" s="6"/>
    </row>
    <row r="16" spans="1:28" ht="26" customHeight="1" x14ac:dyDescent="0.2">
      <c r="A16" s="8" t="s">
        <v>33</v>
      </c>
      <c r="B16" s="8" t="s">
        <v>34</v>
      </c>
      <c r="C16" s="8" t="s">
        <v>68</v>
      </c>
      <c r="D16" s="8" t="s">
        <v>35</v>
      </c>
      <c r="E16" s="9">
        <v>46132</v>
      </c>
      <c r="F16" s="9">
        <v>46132</v>
      </c>
      <c r="G16" s="10">
        <f t="shared" si="1"/>
        <v>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22"/>
      <c r="AB16" s="11"/>
    </row>
    <row r="17" spans="1:28" ht="26" customHeight="1" x14ac:dyDescent="0.2">
      <c r="A17" s="12" t="s">
        <v>36</v>
      </c>
      <c r="B17" s="12" t="s">
        <v>37</v>
      </c>
      <c r="C17" s="8" t="s">
        <v>68</v>
      </c>
      <c r="D17" s="12" t="s">
        <v>33</v>
      </c>
      <c r="E17" s="9">
        <v>46133</v>
      </c>
      <c r="F17" s="9">
        <v>46133</v>
      </c>
      <c r="G17" s="13">
        <f t="shared" si="1"/>
        <v>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22"/>
    </row>
    <row r="18" spans="1:28" ht="26" customHeight="1" x14ac:dyDescent="0.2">
      <c r="A18" s="8" t="s">
        <v>38</v>
      </c>
      <c r="B18" s="8" t="s">
        <v>39</v>
      </c>
      <c r="C18" s="8" t="s">
        <v>68</v>
      </c>
      <c r="D18" s="8" t="s">
        <v>40</v>
      </c>
      <c r="E18" s="9">
        <v>46133</v>
      </c>
      <c r="F18" s="9">
        <v>46133</v>
      </c>
      <c r="G18" s="10">
        <f t="shared" si="1"/>
        <v>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22"/>
    </row>
    <row r="19" spans="1:28" ht="26" customHeight="1" x14ac:dyDescent="0.2">
      <c r="A19" s="12" t="s">
        <v>41</v>
      </c>
      <c r="B19" s="12" t="s">
        <v>42</v>
      </c>
      <c r="C19" s="8" t="s">
        <v>68</v>
      </c>
      <c r="D19" s="12"/>
      <c r="E19" s="9">
        <v>46133</v>
      </c>
      <c r="F19" s="9">
        <v>46133</v>
      </c>
      <c r="G19" s="13">
        <f t="shared" si="1"/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22"/>
    </row>
    <row r="20" spans="1:28" ht="26" customHeight="1" x14ac:dyDescent="0.2">
      <c r="A20" s="8" t="s">
        <v>43</v>
      </c>
      <c r="B20" s="8" t="s">
        <v>44</v>
      </c>
      <c r="C20" s="8" t="s">
        <v>68</v>
      </c>
      <c r="D20" s="8" t="s">
        <v>33</v>
      </c>
      <c r="E20" s="9">
        <v>46133</v>
      </c>
      <c r="F20" s="9">
        <v>46133</v>
      </c>
      <c r="G20" s="10">
        <f t="shared" si="1"/>
        <v>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22"/>
    </row>
    <row r="21" spans="1:28" ht="26" customHeight="1" x14ac:dyDescent="0.2">
      <c r="A21" s="12" t="s">
        <v>45</v>
      </c>
      <c r="B21" s="12" t="s">
        <v>46</v>
      </c>
      <c r="C21" s="8" t="s">
        <v>68</v>
      </c>
      <c r="D21" s="12" t="s">
        <v>47</v>
      </c>
      <c r="E21" s="9">
        <v>46133</v>
      </c>
      <c r="F21" s="9">
        <v>46133</v>
      </c>
      <c r="G21" s="13">
        <f t="shared" si="1"/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22"/>
    </row>
    <row r="22" spans="1:28" ht="26" customHeight="1" x14ac:dyDescent="0.2">
      <c r="A22" s="8" t="s">
        <v>48</v>
      </c>
      <c r="B22" s="8" t="s">
        <v>49</v>
      </c>
      <c r="C22" s="8" t="s">
        <v>68</v>
      </c>
      <c r="D22" s="8" t="s">
        <v>50</v>
      </c>
      <c r="E22" s="9">
        <v>46133</v>
      </c>
      <c r="F22" s="9">
        <v>46133</v>
      </c>
      <c r="G22" s="10">
        <f t="shared" si="1"/>
        <v>1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22"/>
    </row>
  </sheetData>
  <mergeCells count="14">
    <mergeCell ref="H1:N1"/>
    <mergeCell ref="B4:F4"/>
    <mergeCell ref="B7:F7"/>
    <mergeCell ref="A1:G1"/>
    <mergeCell ref="B6:F6"/>
    <mergeCell ref="A8:A9"/>
    <mergeCell ref="C8:C9"/>
    <mergeCell ref="E8:E9"/>
    <mergeCell ref="F8:F9"/>
    <mergeCell ref="G8:G9"/>
    <mergeCell ref="B3:F3"/>
    <mergeCell ref="B5:F5"/>
    <mergeCell ref="D8:D9"/>
    <mergeCell ref="B8:B9"/>
  </mergeCells>
  <conditionalFormatting sqref="H10:AB22">
    <cfRule type="expression" dxfId="1" priority="1">
      <formula>AND(H$8&gt;=$E10,H$8&lt;=$F10,$E10&lt;&gt;"",$F10&lt;&gt;"",$A10&lt;&gt;"M1")</formula>
    </cfRule>
    <cfRule type="expression" dxfId="0" priority="2">
      <formula>AND(H$8=$E10,$A10="M1",$E10&lt;&gt;"")</formula>
    </cfRule>
  </conditionalFormatting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showGridLines="0" workbookViewId="0"/>
  </sheetViews>
  <sheetFormatPr baseColWidth="10" defaultColWidth="8.83203125" defaultRowHeight="15" x14ac:dyDescent="0.2"/>
  <cols>
    <col min="1" max="1" width="95" customWidth="1"/>
  </cols>
  <sheetData>
    <row r="1" spans="1:1" ht="21" x14ac:dyDescent="0.25">
      <c r="A1" s="14" t="s">
        <v>51</v>
      </c>
    </row>
    <row r="3" spans="1:1" ht="16" x14ac:dyDescent="0.2">
      <c r="A3" s="15" t="s">
        <v>52</v>
      </c>
    </row>
    <row r="4" spans="1:1" ht="16" x14ac:dyDescent="0.2">
      <c r="A4" s="15" t="s">
        <v>53</v>
      </c>
    </row>
    <row r="5" spans="1:1" ht="16" x14ac:dyDescent="0.2">
      <c r="A5" s="15" t="s">
        <v>54</v>
      </c>
    </row>
    <row r="6" spans="1:1" ht="16" x14ac:dyDescent="0.2">
      <c r="A6" s="15" t="s">
        <v>55</v>
      </c>
    </row>
    <row r="7" spans="1:1" ht="16" x14ac:dyDescent="0.2">
      <c r="A7" s="15" t="s">
        <v>56</v>
      </c>
    </row>
    <row r="8" spans="1:1" ht="16" x14ac:dyDescent="0.2">
      <c r="A8" s="15" t="s">
        <v>57</v>
      </c>
    </row>
    <row r="9" spans="1:1" x14ac:dyDescent="0.2">
      <c r="A9" s="15"/>
    </row>
    <row r="10" spans="1:1" ht="16" x14ac:dyDescent="0.2">
      <c r="A10" s="15" t="s">
        <v>58</v>
      </c>
    </row>
    <row r="11" spans="1:1" ht="16" x14ac:dyDescent="0.2">
      <c r="A11" s="15" t="s">
        <v>59</v>
      </c>
    </row>
    <row r="12" spans="1:1" ht="16" x14ac:dyDescent="0.2">
      <c r="A12" s="15" t="s">
        <v>60</v>
      </c>
    </row>
    <row r="13" spans="1:1" ht="16" x14ac:dyDescent="0.2">
      <c r="A13" s="15" t="s">
        <v>61</v>
      </c>
    </row>
    <row r="14" spans="1:1" ht="16" x14ac:dyDescent="0.2">
      <c r="A14" s="15" t="s">
        <v>62</v>
      </c>
    </row>
    <row r="15" spans="1:1" ht="16" x14ac:dyDescent="0.2">
      <c r="A15" s="15" t="s">
        <v>63</v>
      </c>
    </row>
    <row r="16" spans="1:1" ht="16" x14ac:dyDescent="0.2">
      <c r="A16" s="15" t="s">
        <v>64</v>
      </c>
    </row>
    <row r="17" spans="1:1" ht="16" x14ac:dyDescent="0.2">
      <c r="A17" s="15" t="s">
        <v>65</v>
      </c>
    </row>
    <row r="18" spans="1:1" ht="16" x14ac:dyDescent="0.2">
      <c r="A18" s="15" t="s">
        <v>66</v>
      </c>
    </row>
    <row r="19" spans="1:1" ht="16" x14ac:dyDescent="0.2">
      <c r="A19" s="15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 Template</vt:lpstr>
      <vt:lpstr>Instructions</vt:lpstr>
      <vt:lpstr>'Gantt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 Smith</cp:lastModifiedBy>
  <dcterms:created xsi:type="dcterms:W3CDTF">2026-04-21T20:11:08Z</dcterms:created>
  <dcterms:modified xsi:type="dcterms:W3CDTF">2026-04-21T20:18:49Z</dcterms:modified>
</cp:coreProperties>
</file>